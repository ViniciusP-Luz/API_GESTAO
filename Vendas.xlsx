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IdeaProjects\API_GESTAO_MAVEN\"/>
    </mc:Choice>
  </mc:AlternateContent>
  <xr:revisionPtr revIDLastSave="0" documentId="13_ncr:1_{B0AAD4EC-7D5C-496F-8BF3-6089174E83D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VENDAS_LISTA" sheetId="1" r:id="rId1"/>
    <sheet name="Sheet2" sheetId="2" r:id="rId2"/>
    <sheet name="FAZER_VENDA" sheetId="3" r:id="rId3"/>
    <sheet name="PRODUTO" sheetId="4" r:id="rId4"/>
    <sheet name="CLIE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D9" i="3"/>
</calcChain>
</file>

<file path=xl/sharedStrings.xml><?xml version="1.0" encoding="utf-8"?>
<sst xmlns="http://schemas.openxmlformats.org/spreadsheetml/2006/main" count="40" uniqueCount="32">
  <si>
    <t>VENDA</t>
  </si>
  <si>
    <t>CLIENTE</t>
  </si>
  <si>
    <t>PAGAMENTO</t>
  </si>
  <si>
    <t>VALOR</t>
  </si>
  <si>
    <t>ID_PROD</t>
  </si>
  <si>
    <t>QNT</t>
  </si>
  <si>
    <t>VALOR_VENDA</t>
  </si>
  <si>
    <t>a_vista</t>
  </si>
  <si>
    <t>Cliente:</t>
  </si>
  <si>
    <t>Pagamento</t>
  </si>
  <si>
    <t>Produtos:</t>
  </si>
  <si>
    <t>Código</t>
  </si>
  <si>
    <t>Nome</t>
  </si>
  <si>
    <t>Qauntidade</t>
  </si>
  <si>
    <t>Valor</t>
  </si>
  <si>
    <t>ID</t>
  </si>
  <si>
    <t>Estoque</t>
  </si>
  <si>
    <t>Valor_venda</t>
  </si>
  <si>
    <t>88544020</t>
  </si>
  <si>
    <t>1</t>
  </si>
  <si>
    <t>CANECA</t>
  </si>
  <si>
    <t>88704337</t>
  </si>
  <si>
    <t>2</t>
  </si>
  <si>
    <t>COPO</t>
  </si>
  <si>
    <t>Codigo</t>
  </si>
  <si>
    <t>VINI</t>
  </si>
  <si>
    <t>55195106</t>
  </si>
  <si>
    <t>MATHEUS</t>
  </si>
  <si>
    <t>55323285</t>
  </si>
  <si>
    <t>THALISSON</t>
  </si>
  <si>
    <t>55323207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</si>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</sst>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F2F191-3B50-4FF2-BD66-A6CAD7358BC2}" name="Table7" displayName="Table7" ref="C8:F9" totalsRowShown="0">
  <autoFilter ref="C8:F9" xr:uid="{DCF2F191-3B50-4FF2-BD66-A6CAD7358BC2}"/>
  <tableColumns count="4">
    <tableColumn id="1" xr3:uid="{51792E7E-D780-47CB-AEEF-4A6C01A3AD78}" name="Prod" dataDxfId="3"/>
    <tableColumn id="2" xr3:uid="{4642D752-5B3D-4768-B5F2-3533B4BEA53E}" name="Nome" dataDxfId="2">
      <calculatedColumnFormula>VLOOKUP(Table7[[#This Row],[Prod]],PRODUTO!A:E,3,0)</calculatedColumnFormula>
    </tableColumn>
    <tableColumn id="3" xr3:uid="{94A0DB0A-2D3A-4F39-80C8-82CFAA5FA30E}" name="Qauntidade" dataDxfId="1"/>
    <tableColumn id="4" xr3:uid="{D4B64CE9-2433-4384-80B6-C8763453FBEA}" name="Valor" dataDxfId="0">
      <calculatedColumnFormula>VLOOKUP(Table7[[#This Row],[Prod]],PRODUTO!A:E,5,0)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"/>
  <sheetViews>
    <sheetView tabSelected="1" workbookViewId="0">
      <selection activeCell="G20" sqref="G20"/>
    </sheetView>
  </sheetViews>
  <sheetFormatPr defaultRowHeight="15" x14ac:dyDescent="0.25"/>
  <cols>
    <col min="7" max="7" width="1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55195106</v>
      </c>
      <c r="C2" s="1" t="s">
        <v>7</v>
      </c>
      <c r="D2">
        <v>40</v>
      </c>
    </row>
    <row r="3" spans="1:7" x14ac:dyDescent="0.25">
      <c r="E3">
        <v>88544020</v>
      </c>
      <c r="F3">
        <v>3</v>
      </c>
      <c r="G3">
        <v>10</v>
      </c>
    </row>
    <row r="4" spans="1:7" x14ac:dyDescent="0.25">
      <c r="E4">
        <v>88704337</v>
      </c>
      <c r="F4">
        <v>1</v>
      </c>
      <c r="G4">
        <v>10</v>
      </c>
    </row>
    <row r="5" spans="1:7" x14ac:dyDescent="0.25">
      <c r="A5">
        <v>2</v>
      </c>
      <c r="B5">
        <v>55323285</v>
      </c>
      <c r="C5" s="1" t="s">
        <v>7</v>
      </c>
      <c r="D5">
        <v>10</v>
      </c>
    </row>
    <row r="6" spans="1:7" x14ac:dyDescent="0.25">
      <c r="E6">
        <v>88704337</v>
      </c>
      <c r="F6">
        <v>1</v>
      </c>
      <c r="G6">
        <v>10</v>
      </c>
    </row>
    <row r="7" spans="1:7" x14ac:dyDescent="0.25">
      <c r="A7">
        <v>3</v>
      </c>
      <c r="B7">
        <v>55323207</v>
      </c>
      <c r="C7" s="1" t="s">
        <v>7</v>
      </c>
      <c r="D7">
        <v>20</v>
      </c>
    </row>
    <row r="8" spans="1:7" x14ac:dyDescent="0.25">
      <c r="E8">
        <v>88544020</v>
      </c>
      <c r="F8">
        <v>1</v>
      </c>
      <c r="G8">
        <v>10</v>
      </c>
    </row>
    <row r="9" spans="1:7" x14ac:dyDescent="0.25">
      <c r="E9">
        <v>88704337</v>
      </c>
      <c r="F9">
        <v>1</v>
      </c>
      <c r="G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DBCC-7A81-470B-97F4-D87C80EB7CA3}">
  <sheetPr codeName="Sheet2"/>
  <dimension ref="A1:G8"/>
  <sheetViews>
    <sheetView workbookViewId="0">
      <selection activeCell="P9" sqref="P9"/>
    </sheetView>
  </sheetViews>
  <sheetFormatPr defaultRowHeight="15" x14ac:dyDescent="0.25"/>
  <sheetData>
    <row r="1" spans="1:7" x14ac:dyDescent="0.25">
      <c r="A1">
        <v>1</v>
      </c>
      <c r="B1">
        <v>55195106</v>
      </c>
      <c r="C1" s="1" t="s">
        <v>7</v>
      </c>
      <c r="D1">
        <v>40</v>
      </c>
    </row>
    <row r="2" spans="1:7" x14ac:dyDescent="0.25">
      <c r="E2">
        <v>88544020</v>
      </c>
      <c r="F2">
        <v>3</v>
      </c>
      <c r="G2">
        <v>10</v>
      </c>
    </row>
    <row r="3" spans="1:7" x14ac:dyDescent="0.25">
      <c r="E3">
        <v>88704337</v>
      </c>
      <c r="F3">
        <v>1</v>
      </c>
      <c r="G3">
        <v>10</v>
      </c>
    </row>
    <row r="4" spans="1:7" x14ac:dyDescent="0.25">
      <c r="A4">
        <v>2</v>
      </c>
      <c r="B4">
        <v>55323285</v>
      </c>
      <c r="C4" s="1" t="s">
        <v>7</v>
      </c>
      <c r="D4">
        <v>10</v>
      </c>
    </row>
    <row r="5" spans="1:7" x14ac:dyDescent="0.25">
      <c r="E5">
        <v>88704337</v>
      </c>
      <c r="F5">
        <v>1</v>
      </c>
      <c r="G5">
        <v>10</v>
      </c>
    </row>
    <row r="6" spans="1:7" x14ac:dyDescent="0.25">
      <c r="A6">
        <v>3</v>
      </c>
      <c r="B6">
        <v>55323207</v>
      </c>
      <c r="C6" s="1" t="s">
        <v>7</v>
      </c>
      <c r="D6">
        <v>20</v>
      </c>
    </row>
    <row r="7" spans="1:7" x14ac:dyDescent="0.25">
      <c r="E7">
        <v>88544020</v>
      </c>
      <c r="F7">
        <v>1</v>
      </c>
      <c r="G7">
        <v>10</v>
      </c>
    </row>
    <row r="8" spans="1:7" x14ac:dyDescent="0.25">
      <c r="E8">
        <v>88704337</v>
      </c>
      <c r="F8">
        <v>1</v>
      </c>
      <c r="G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934A-09B7-4CAF-80DE-4F12E166030D}">
  <sheetPr codeName="Sheet3"/>
  <dimension ref="C3:I12"/>
  <sheetViews>
    <sheetView zoomScale="145" zoomScaleNormal="145" workbookViewId="0">
      <selection activeCell="C9" sqref="C9:F9"/>
    </sheetView>
  </sheetViews>
  <sheetFormatPr defaultRowHeight="15" x14ac:dyDescent="0.25"/>
  <cols>
    <col min="1" max="2" width="9.140625" style="2"/>
    <col min="3" max="3" width="9.7109375" style="2" customWidth="1"/>
    <col min="4" max="4" width="24.140625" style="2" customWidth="1"/>
    <col min="5" max="5" width="12.140625" style="2" customWidth="1"/>
    <col min="6" max="6" width="15.42578125" style="2" customWidth="1"/>
    <col min="7" max="16384" width="9.140625" style="2"/>
  </cols>
  <sheetData>
    <row r="3" spans="3:9" x14ac:dyDescent="0.25">
      <c r="C3" s="2" t="s">
        <v>8</v>
      </c>
      <c r="G3" s="2" t="s">
        <v>9</v>
      </c>
    </row>
    <row r="4" spans="3:9" x14ac:dyDescent="0.25">
      <c r="C4" s="7"/>
      <c r="D4" s="7"/>
      <c r="E4" s="7"/>
      <c r="G4" s="3"/>
      <c r="H4" s="3"/>
      <c r="I4" s="3"/>
    </row>
    <row r="6" spans="3:9" x14ac:dyDescent="0.25">
      <c r="C6" s="2" t="s">
        <v>10</v>
      </c>
    </row>
    <row r="8" spans="3:9" x14ac:dyDescent="0.25">
      <c r="C8" s="5" t="s">
        <v>31</v>
      </c>
      <c r="D8" s="5" t="s">
        <v>12</v>
      </c>
      <c r="E8" s="4" t="s">
        <v>13</v>
      </c>
      <c r="F8" s="4" t="s">
        <v>14</v>
      </c>
    </row>
    <row r="9" spans="3:9" x14ac:dyDescent="0.25">
      <c r="C9" s="6" t="s">
        <v>18</v>
      </c>
      <c r="D9" s="6" t="str">
        <f>VLOOKUP(Table7[[#This Row],[Prod]],PRODUTO!A:E,3,0)</f>
        <v>CANECA</v>
      </c>
      <c r="F9" s="6">
        <f>VLOOKUP(Table7[[#This Row],[Prod]],PRODUTO!A:E,5,0)</f>
        <v>10</v>
      </c>
    </row>
    <row r="10" spans="3:9" x14ac:dyDescent="0.25">
      <c r="C10" s="6"/>
      <c r="D10" s="6"/>
    </row>
    <row r="11" spans="3:9" x14ac:dyDescent="0.25">
      <c r="C11" s="6"/>
      <c r="D11" s="6"/>
    </row>
    <row r="12" spans="3:9" x14ac:dyDescent="0.25">
      <c r="C12" s="6"/>
      <c r="D12" s="6"/>
    </row>
  </sheetData>
  <mergeCells count="2">
    <mergeCell ref="G4:I4"/>
    <mergeCell ref="C4:E4"/>
  </mergeCells>
  <dataValidations count="1">
    <dataValidation type="list" allowBlank="1" showInputMessage="1" showErrorMessage="1" sqref="G4:I4" xr:uid="{A3FF9187-4ED2-4E6C-8993-60622764D70A}">
      <formula1>"a_vista"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EA37E4-0922-4987-BF59-29E4D6E10210}">
          <x14:formula1>
            <xm:f>PRODUTO!$A:$A</xm:f>
          </x14:formula1>
          <xm:sqref>C9:C1048576</xm:sqref>
        </x14:dataValidation>
        <x14:dataValidation type="list" allowBlank="1" showInputMessage="1" showErrorMessage="1" xr:uid="{BA7718A4-22D4-4585-9AC1-F7DDF5CEAB45}">
          <x14:formula1>
            <xm:f>CLIENTES!$A:$A</xm:f>
          </x14:formula1>
          <xm:sqref>C4:E4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398E-4068-405D-910E-62CBFB8E1B7D}">
  <sheetPr codeName="Sheet4"/>
  <dimension ref="A1:E3"/>
  <sheetViews>
    <sheetView workbookViewId="0">
      <selection activeCell="G20" sqref="G20"/>
    </sheetView>
  </sheetViews>
  <sheetFormatPr defaultRowHeight="15" x14ac:dyDescent="0.25"/>
  <sheetData>
    <row r="1" spans="1:5" x14ac:dyDescent="0.25">
      <c r="A1" t="s">
        <v>15</v>
      </c>
      <c r="B1" t="s">
        <v>11</v>
      </c>
      <c r="C1" t="s">
        <v>12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 t="s">
        <v>20</v>
      </c>
      <c r="D2">
        <v>0</v>
      </c>
      <c r="E2">
        <v>10</v>
      </c>
    </row>
    <row r="3" spans="1:5" x14ac:dyDescent="0.25">
      <c r="A3" t="s">
        <v>21</v>
      </c>
      <c r="B3" t="s">
        <v>22</v>
      </c>
      <c r="C3" t="s">
        <v>23</v>
      </c>
      <c r="D3">
        <v>0</v>
      </c>
      <c r="E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326D-BCC1-41A0-9FF5-D3F9C14264F1}">
  <sheetPr codeName="Sheet5"/>
  <dimension ref="A1:B4"/>
  <sheetViews>
    <sheetView topLeftCell="A2" workbookViewId="0">
      <selection activeCell="F38" sqref="F38"/>
    </sheetView>
  </sheetViews>
  <sheetFormatPr defaultRowHeight="15" x14ac:dyDescent="0.25"/>
  <sheetData>
    <row r="1" spans="1:2" x14ac:dyDescent="0.25">
      <c r="A1" t="s">
        <v>24</v>
      </c>
      <c r="B1" t="s">
        <v>12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FDC538-4C52-4C22-8CC8-310EB3B18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VENDAS_LISTA</vt:lpstr>
      <vt:lpstr>Sheet2</vt:lpstr>
      <vt:lpstr>FAZER_VENDA</vt:lpstr>
      <vt:lpstr>PRODUTO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2026-02-09T19:27:14Z</dcterms:modified>
</cp:coreProperties>
</file>