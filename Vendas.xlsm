
<file path=[Content_Types].xml><?xml version="1.0" encoding="utf-8"?>
<Types xmlns="http://schemas.openxmlformats.org/package/2006/content-types">
  <Default ContentType="application/vnd.ms-office.vbaProject" Extension="bin"/>
  <Default ContentType="application/vnd.openxmlformats-package.relationships+xml" Extension="rels"/>
  <Default ContentType="application/xml" Extension="xml"/>
  <Override ContentType="application/vnd.openxmlformats-officedocument.customXmlProperties+xml" PartName="/customXml/itemProps1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spreadsheetml.table+xml" PartName="/xl/tables/table1.xml"/>
  <Override ContentType="application/vnd.openxmlformats-officedocument.theme+xml" PartName="/xl/theme/theme1.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codeName="ThisWorkbook"/>
  <mc:AlternateContent>
    <mc:Choice Requires="x15">
      <x15ac:absPath xmlns:x15ac="http://schemas.microsoft.com/office/spreadsheetml/2010/11/ac" url="C:\Users\User\Desktop\IdeaProjects\API_GESTAO_MAVEN\"/>
    </mc:Choice>
  </mc:AlternateContent>
  <xr:revisionPtr revIDLastSave="0" documentId="13_ncr:1_{B44A483C-1EE1-4A96-8B58-BF6BE8FE3659}" xr6:coauthVersionLast="47" xr6:coauthVersionMax="47" xr10:uidLastSave="{00000000-0000-0000-0000-000000000000}"/>
  <bookViews>
    <workbookView xWindow="3555" yWindow="1995" windowWidth="15375" windowHeight="7875" xr2:uid="{00000000-000D-0000-FFFF-FFFF00000000}"/>
  </bookViews>
  <sheets>
    <sheet name="VENDAS_LISTA" sheetId="1" r:id="rId1"/>
    <sheet name="FAZER_VENDA" sheetId="3" r:id="rId2"/>
    <sheet name="PRODUTO" sheetId="4" r:id="rId3"/>
    <sheet name="CLIENTES" sheetId="5" r:id="rId4"/>
  </sheets>
  <definedNames>
    <definedName name="_xleta.T" hidden="1" xlm="1">#NAME?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3" l="1"/>
  <c r="F9" i="3"/>
  <c r="D9" i="3"/>
</calcChain>
</file>

<file path=xl/sharedStrings.xml><?xml version="1.0" encoding="utf-8"?>
<sst xmlns="http://schemas.openxmlformats.org/spreadsheetml/2006/main" count="36" uniqueCount="34">
  <si>
    <t>VENDA</t>
  </si>
  <si>
    <t>CLIENTE</t>
  </si>
  <si>
    <t>PAGAMENTO</t>
  </si>
  <si>
    <t>VALOR</t>
  </si>
  <si>
    <t>ID_PROD</t>
  </si>
  <si>
    <t>QNT</t>
  </si>
  <si>
    <t>VALOR_VENDA</t>
  </si>
  <si>
    <t>a_vista</t>
  </si>
  <si>
    <t>Cliente:</t>
  </si>
  <si>
    <t>Pagamento</t>
  </si>
  <si>
    <t>Produtos:</t>
  </si>
  <si>
    <t>Código</t>
  </si>
  <si>
    <t>Nome</t>
  </si>
  <si>
    <t>Qauntidade</t>
  </si>
  <si>
    <t>Valor</t>
  </si>
  <si>
    <t>ID</t>
  </si>
  <si>
    <t>Estoque</t>
  </si>
  <si>
    <t>Valor_venda</t>
  </si>
  <si>
    <t>88544020</t>
  </si>
  <si>
    <t>1</t>
  </si>
  <si>
    <t>CANECA</t>
  </si>
  <si>
    <t>88704337</t>
  </si>
  <si>
    <t>2</t>
  </si>
  <si>
    <t>COPO</t>
  </si>
  <si>
    <t>Codigo</t>
  </si>
  <si>
    <t>VINI</t>
  </si>
  <si>
    <t>55195106</t>
  </si>
  <si>
    <t>MATHEUS</t>
  </si>
  <si>
    <t>55323285</t>
  </si>
  <si>
    <t>THALISSON</t>
  </si>
  <si>
    <t>55323207</t>
  </si>
  <si>
    <t>Prod</t>
  </si>
  <si>
    <t>VAGNER</t>
  </si>
  <si>
    <t>55427625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</si>
</sst>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2" x14ac:knownFonts="1">
    <font>
      <sz val="11"/>
      <color theme="1"/>
      <name val="Calibri"/>
      <family val="2"/>
      <scheme val="minor"/>
    </font>
    <font>
      <sz val="11"/>
      <color theme="2" tint="-0.249977111117893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1" xfId="0" applyFill="1" applyBorder="1"/>
    <xf numFmtId="1" fontId="0" fillId="0" borderId="0" xfId="0" applyNumberFormat="1"/>
    <xf numFmtId="0" fontId="0" fillId="3" borderId="0" xfId="0" applyFill="1" applyAlignment="1">
      <alignment horizontal="left"/>
    </xf>
  </cellXfs>
  <cellStyles count="1">
    <cellStyle name="Normal" xfId="0" builtinId="0"/>
  </cellStyles>
  <dxfs count="4">
    <dxf>
      <numFmt numFmtId="0" formatCode="General"/>
      <fill>
        <patternFill patternType="solid">
          <fgColor indexed="64"/>
          <bgColor theme="4" tint="0.79998168889431442"/>
        </patternFill>
      </fill>
      <alignment horizontal="general" vertical="bottom" textRotation="0" wrapText="0" indent="0" justifyLastLine="0" shrinkToFit="0" readingOrder="0"/>
    </dxf>
    <dxf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4" tint="0.79998168889431442"/>
        </patternFill>
      </fill>
      <alignment horizontal="general" vertical="bottom" textRotation="0" wrapText="0" indent="0" justifyLastLine="0" shrinkToFit="0" readingOrder="0"/>
    </dxf>
    <dxf>
      <fill>
        <patternFill patternType="solid">
          <fgColor indexed="64"/>
          <bgColor theme="4" tint="0.79998168889431442"/>
        </patternFill>
      </fill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0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theme/theme1.xml" Type="http://schemas.openxmlformats.org/officeDocument/2006/relationships/theme"/><Relationship Id="rId6" Target="styles.xml" Type="http://schemas.openxmlformats.org/officeDocument/2006/relationships/styles"/><Relationship Id="rId7" Target="sharedStrings.xml" Type="http://schemas.openxmlformats.org/officeDocument/2006/relationships/sharedStrings"/><Relationship Id="rId8" Target="calcChain.xml" Type="http://schemas.openxmlformats.org/officeDocument/2006/relationships/calcChain"/><Relationship Id="rId9" Target="../customXml/item1.xml" Type="http://schemas.openxmlformats.org/officeDocument/2006/relationships/custom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472966</xdr:colOff>
      <xdr:row>6</xdr:row>
      <xdr:rowOff>85397</xdr:rowOff>
    </xdr:from>
    <xdr:to>
      <xdr:col>8</xdr:col>
      <xdr:colOff>505810</xdr:colOff>
      <xdr:row>9</xdr:row>
      <xdr:rowOff>105103</xdr:rowOff>
    </xdr:to>
    <xdr:sp macro="[0]!SalvarVendaNaLista_SemTabel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CD4D847-BFC0-470A-25C3-6DB423B61F56}"/>
            </a:ext>
          </a:extLst>
        </xdr:cNvPr>
        <xdr:cNvSpPr/>
      </xdr:nvSpPr>
      <xdr:spPr>
        <a:xfrm>
          <a:off x="5793828" y="1228397"/>
          <a:ext cx="1254672" cy="591206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Enviar</a:t>
          </a:r>
          <a:r>
            <a:rPr lang="pt-BR" sz="1100" baseline="0"/>
            <a:t> venda</a:t>
          </a:r>
          <a:endParaRPr lang="pt-BR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CF2F191-3B50-4FF2-BD66-A6CAD7358BC2}" name="Table7" displayName="Table7" ref="C8:F9" totalsRowShown="0">
  <autoFilter ref="C8:F9" xr:uid="{DCF2F191-3B50-4FF2-BD66-A6CAD7358BC2}"/>
  <tableColumns count="4">
    <tableColumn id="1" xr3:uid="{51792E7E-D780-47CB-AEEF-4A6C01A3AD78}" name="Prod" dataDxfId="3"/>
    <tableColumn id="2" xr3:uid="{4642D752-5B3D-4768-B5F2-3533B4BEA53E}" name="Nome" dataDxfId="2">
      <calculatedColumnFormula>VLOOKUP(Table7[[#This Row],[Prod]],PRODUTO!A:E,3,0)</calculatedColumnFormula>
    </tableColumn>
    <tableColumn id="3" xr3:uid="{94A0DB0A-2D3A-4F39-80C8-82CFAA5FA30E}" name="Qauntidade" dataDxfId="1"/>
    <tableColumn id="4" xr3:uid="{D4B64CE9-2433-4384-80B6-C8763453FBEA}" name="Valor" dataDxfId="0">
      <calculatedColumnFormula>VLOOKUP(Table7[[#This Row],[Prod]],PRODUTO!A:E,5,0)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<Relationships xmlns="http://schemas.openxmlformats.org/package/2006/relationships"><Relationship Id="rId1" Target="../drawings/drawing1.xml" Type="http://schemas.openxmlformats.org/officeDocument/2006/relationships/drawing"/><Relationship Id="rId2" Target="../tables/table1.xml" Type="http://schemas.openxmlformats.org/officeDocument/2006/relationships/table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"/>
  <sheetViews>
    <sheetView tabSelected="1" workbookViewId="0">
      <selection activeCell="C6" sqref="C6"/>
    </sheetView>
  </sheetViews>
  <sheetFormatPr defaultRowHeight="15" x14ac:dyDescent="0.25"/>
  <cols>
    <col min="2" max="2" bestFit="true" customWidth="true" style="5" width="11.5703125"/>
    <col min="4" max="4" bestFit="true" customWidth="true" style="5" width="9.28515625"/>
    <col min="5" max="5" bestFit="true" customWidth="true" style="5" width="11.5703125"/>
    <col min="6" max="6" bestFit="true" customWidth="true" style="5" width="9.28515625"/>
    <col min="7" max="7" customWidth="true" style="5" width="16.42578125"/>
  </cols>
  <sheetData>
    <row r="1" spans="1:7" x14ac:dyDescent="0.25">
      <c r="A1" t="s" s="0">
        <v>0</v>
      </c>
      <c r="B1" s="5" t="s">
        <v>1</v>
      </c>
      <c r="C1" t="s" s="0">
        <v>2</v>
      </c>
      <c r="D1" s="5" t="s">
        <v>3</v>
      </c>
      <c r="E1" s="5" t="s">
        <v>4</v>
      </c>
      <c r="F1" s="5" t="s">
        <v>5</v>
      </c>
      <c r="G1" s="5" t="s">
        <v>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9934A-09B7-4CAF-80DE-4F12E166030D}">
  <sheetPr codeName="Sheet3"/>
  <dimension ref="C3:I9"/>
  <sheetViews>
    <sheetView zoomScale="145" zoomScaleNormal="145" workbookViewId="0">
      <selection activeCell="G4" sqref="G4:I4"/>
    </sheetView>
  </sheetViews>
  <sheetFormatPr defaultRowHeight="15" x14ac:dyDescent="0.25"/>
  <cols>
    <col min="1" max="2" style="1" width="9.140625"/>
    <col min="3" max="3" customWidth="true" style="1" width="9.7109375"/>
    <col min="4" max="4" customWidth="true" style="1" width="24.140625"/>
    <col min="5" max="5" customWidth="true" style="1" width="12.140625"/>
    <col min="6" max="6" customWidth="true" style="1" width="15.42578125"/>
    <col min="7" max="16384" style="1" width="9.140625"/>
  </cols>
  <sheetData>
    <row r="3" spans="3:9" x14ac:dyDescent="0.25">
      <c r="C3" s="1" t="s">
        <v>8</v>
      </c>
      <c r="G3" s="1" t="s">
        <v>9</v>
      </c>
    </row>
    <row r="4" spans="3:9" x14ac:dyDescent="0.25">
      <c r="C4" s="6"/>
      <c r="D4" s="6"/>
      <c r="E4" s="4" t="e">
        <f>VLOOKUP(C4,CLIENTES!A:B,2,0)</f>
        <v>#N/A</v>
      </c>
      <c r="G4" s="6"/>
      <c r="H4" s="6"/>
      <c r="I4" s="6"/>
    </row>
    <row r="6" spans="3:9" x14ac:dyDescent="0.25">
      <c r="C6" s="1" t="s">
        <v>10</v>
      </c>
    </row>
    <row r="8" spans="3:9" x14ac:dyDescent="0.25">
      <c r="C8" s="3" t="s">
        <v>31</v>
      </c>
      <c r="D8" s="3" t="s">
        <v>12</v>
      </c>
      <c r="E8" s="2" t="s">
        <v>13</v>
      </c>
      <c r="F8" s="2" t="s">
        <v>14</v>
      </c>
    </row>
    <row r="9" spans="3:9" x14ac:dyDescent="0.25">
      <c r="D9" s="1" t="e">
        <f>VLOOKUP(Table7[[#This Row],[Prod]],PRODUTO!A:E,3,0)</f>
        <v>#N/A</v>
      </c>
      <c r="F9" s="1" t="e">
        <f>VLOOKUP(Table7[[#This Row],[Prod]],PRODUTO!A:E,5,0)</f>
        <v>#N/A</v>
      </c>
    </row>
  </sheetData>
  <mergeCells count="2">
    <mergeCell ref="G4:I4"/>
    <mergeCell ref="C4:D4"/>
  </mergeCells>
  <dataValidations count="1">
    <dataValidation type="list" allowBlank="1" showInputMessage="1" showErrorMessage="1" sqref="G4:I4" xr:uid="{A3FF9187-4ED2-4E6C-8993-60622764D70A}">
      <formula1>"a_vista"</formula1>
    </dataValidation>
  </dataValidation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BEA37E4-0922-4987-BF59-29E4D6E10210}">
          <x14:formula1>
            <xm:f>PRODUTO!$A:$A</xm:f>
          </x14:formula1>
          <xm:sqref>C9:C1048576</xm:sqref>
        </x14:dataValidation>
        <x14:dataValidation type="list" allowBlank="1" showInputMessage="1" showErrorMessage="1" xr:uid="{BA7718A4-22D4-4585-9AC1-F7DDF5CEAB45}">
          <x14:formula1>
            <xm:f>CLIENTES!$A:$A</xm:f>
          </x14:formula1>
          <xm:sqref>C4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19398E-4068-405D-910E-62CBFB8E1B7D}">
  <sheetPr codeName="Sheet4"/>
  <dimension ref="A1:E3"/>
  <sheetViews>
    <sheetView workbookViewId="0">
      <selection activeCell="G20" sqref="G20"/>
    </sheetView>
  </sheetViews>
  <sheetFormatPr defaultRowHeight="15" x14ac:dyDescent="0.25"/>
  <sheetData>
    <row r="1" spans="1:5" x14ac:dyDescent="0.25">
      <c r="A1" t="s" s="0">
        <v>15</v>
      </c>
      <c r="B1" t="s" s="0">
        <v>11</v>
      </c>
      <c r="C1" t="s" s="0">
        <v>12</v>
      </c>
      <c r="D1" t="s" s="0">
        <v>16</v>
      </c>
      <c r="E1" t="s" s="0">
        <v>17</v>
      </c>
    </row>
    <row r="2" spans="1:5" x14ac:dyDescent="0.25">
      <c r="A2" t="s" s="0">
        <v>18</v>
      </c>
      <c r="B2" t="s" s="0">
        <v>19</v>
      </c>
      <c r="C2" t="s" s="0">
        <v>20</v>
      </c>
      <c r="D2" s="0">
        <v>0</v>
      </c>
      <c r="E2" s="0">
        <v>10</v>
      </c>
    </row>
    <row r="3" spans="1:5" x14ac:dyDescent="0.25">
      <c r="A3" t="s" s="0">
        <v>21</v>
      </c>
      <c r="B3" t="s" s="0">
        <v>22</v>
      </c>
      <c r="C3" t="s" s="0">
        <v>23</v>
      </c>
      <c r="D3" s="0">
        <v>0</v>
      </c>
      <c r="E3" s="0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EE326D-BCC1-41A0-9FF5-D3F9C14264F1}">
  <sheetPr codeName="Sheet5"/>
  <dimension ref="A1:B5"/>
  <sheetViews>
    <sheetView topLeftCell="A2" workbookViewId="0">
      <selection activeCell="F38" sqref="F38"/>
    </sheetView>
  </sheetViews>
  <sheetFormatPr defaultRowHeight="15" x14ac:dyDescent="0.25"/>
  <sheetData>
    <row r="1" spans="1:2" x14ac:dyDescent="0.25">
      <c r="A1" t="s" s="0">
        <v>24</v>
      </c>
      <c r="B1" t="s" s="0">
        <v>12</v>
      </c>
    </row>
    <row r="2" spans="1:2" x14ac:dyDescent="0.25">
      <c r="A2" t="s" s="0">
        <v>32</v>
      </c>
      <c r="B2" t="s" s="0">
        <v>33</v>
      </c>
    </row>
    <row r="3" spans="1:2" x14ac:dyDescent="0.25">
      <c r="A3" t="s" s="0">
        <v>25</v>
      </c>
      <c r="B3" t="s" s="0">
        <v>26</v>
      </c>
    </row>
    <row r="4" spans="1:2" x14ac:dyDescent="0.25">
      <c r="A4" t="s" s="0">
        <v>27</v>
      </c>
      <c r="B4" t="s" s="0">
        <v>28</v>
      </c>
    </row>
    <row r="5" spans="1:2" x14ac:dyDescent="0.25">
      <c r="A5" t="s" s="0">
        <v>29</v>
      </c>
      <c r="B5" t="s" s="0">
        <v>30</v>
      </c>
    </row>
  </sheetData>
  <pageMargins left="0.7" right="0.7" top="0.75" bottom="0.75" header="0.3" footer="0.3"/>
</worksheet>
</file>

<file path=customXml/_rels/item1.xml.rels><?xml version="1.0" encoding="UTF-8" standalone="yes"?><Relationships xmlns="http://schemas.openxmlformats.org/package/2006/relationships"><Relationship Id="rId1" Target="itemProps1.xml" Type="http://schemas.openxmlformats.org/officeDocument/2006/relationships/customXmlProps"/></Relationships>
</file>

<file path=customXml/item1.xml>�� 
</file>

<file path=customXml/itemProps1.xml><?xml version="1.0" encoding="utf-8"?>
<ds:datastoreItem xmlns:ds="http://schemas.openxmlformats.org/officeDocument/2006/customXml" ds:itemID="{6EFDC538-4C52-4C22-8CC8-310EB3B18BE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VENDAS_LISTA</vt:lpstr>
      <vt:lpstr>FAZER_VENDA</vt:lpstr>
      <vt:lpstr>PRODUTO</vt:lpstr>
      <vt:lpstr>CLIENTES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2015-06-05T18:17:20Z</dcterms:created>
  <dc:creator>User</dc:creator>
  <cp:lastModifiedBy>User</cp:lastModifiedBy>
  <dcterms:modified xsi:type="dcterms:W3CDTF">2026-02-10T14:24:03Z</dcterms:modified>
</cp:coreProperties>
</file>